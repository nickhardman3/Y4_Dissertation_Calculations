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d07f7ca3c8559/Documents/Chemistry/Y4/Diss/Binding_Energies/"/>
    </mc:Choice>
  </mc:AlternateContent>
  <xr:revisionPtr revIDLastSave="214" documentId="8_{9A945E2F-F76C-4928-9766-4CB22E16A06F}" xr6:coauthVersionLast="47" xr6:coauthVersionMax="47" xr10:uidLastSave="{F42F5457-C8D3-46D9-ACA5-FB12C0C68036}"/>
  <bookViews>
    <workbookView xWindow="-80" yWindow="-80" windowWidth="19360" windowHeight="11440" activeTab="3" xr2:uid="{EA04BD3D-5418-4F32-8F6F-C4A903735D83}"/>
  </bookViews>
  <sheets>
    <sheet name="0 Water" sheetId="1" r:id="rId1"/>
    <sheet name="1 Water" sheetId="2" r:id="rId2"/>
    <sheet name="2 Water" sheetId="3" r:id="rId3"/>
    <sheet name="2 Water non" sheetId="4" r:id="rId4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4" l="1"/>
  <c r="B28" i="4"/>
  <c r="D3" i="4"/>
  <c r="C3" i="4"/>
  <c r="B3" i="4"/>
  <c r="C10" i="4"/>
  <c r="C11" i="4"/>
  <c r="C12" i="4"/>
  <c r="C9" i="4"/>
  <c r="C9" i="3"/>
  <c r="F10" i="3"/>
  <c r="B22" i="4"/>
  <c r="C22" i="4"/>
  <c r="C28" i="4" s="1"/>
  <c r="D22" i="4"/>
  <c r="B21" i="3"/>
  <c r="C21" i="3"/>
  <c r="D21" i="3"/>
  <c r="D9" i="3"/>
  <c r="D10" i="3"/>
  <c r="D11" i="3"/>
  <c r="D12" i="3"/>
  <c r="C11" i="1" l="1"/>
  <c r="E11" i="1" s="1"/>
  <c r="C3" i="1" s="1"/>
  <c r="F11" i="4"/>
  <c r="F12" i="4"/>
  <c r="F10" i="4"/>
  <c r="C10" i="3"/>
  <c r="D3" i="3"/>
  <c r="B3" i="3"/>
  <c r="F11" i="3"/>
  <c r="C3" i="3" s="1"/>
  <c r="F12" i="3"/>
  <c r="C11" i="3"/>
  <c r="C12" i="3"/>
  <c r="C9" i="2"/>
  <c r="D3" i="2"/>
  <c r="C3" i="2"/>
  <c r="B3" i="2"/>
  <c r="E11" i="2"/>
  <c r="E12" i="2"/>
  <c r="E10" i="2"/>
  <c r="C10" i="2"/>
  <c r="C11" i="2"/>
  <c r="C12" i="2"/>
  <c r="C9" i="1"/>
  <c r="B3" i="1"/>
  <c r="E12" i="1"/>
  <c r="D3" i="1" s="1"/>
  <c r="E10" i="1"/>
  <c r="C12" i="1"/>
  <c r="C10" i="1"/>
</calcChain>
</file>

<file path=xl/sharedStrings.xml><?xml version="1.0" encoding="utf-8"?>
<sst xmlns="http://schemas.openxmlformats.org/spreadsheetml/2006/main" count="52" uniqueCount="14">
  <si>
    <t>(U)DFT/ωB97XD/aug-cc-pVDZ</t>
  </si>
  <si>
    <t xml:space="preserve">IP-EOM-CCSD/aug-cc-pVTZ </t>
  </si>
  <si>
    <t>D0 ⟶ S0</t>
  </si>
  <si>
    <t>D0 ⟶ T1</t>
  </si>
  <si>
    <t>D0 ⟶ S1</t>
  </si>
  <si>
    <t>Method</t>
  </si>
  <si>
    <t>eV</t>
  </si>
  <si>
    <t xml:space="preserve">s0 </t>
  </si>
  <si>
    <t>d0</t>
  </si>
  <si>
    <t>t1</t>
  </si>
  <si>
    <t>s1</t>
  </si>
  <si>
    <t>hartree</t>
  </si>
  <si>
    <t>ev</t>
  </si>
  <si>
    <t>kj/mol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</si>
</sst>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('0 Water'!$B$3,'0 Water'!$C$3,'0 Water'!$D$3)</c:f>
              <c:numCache>
                <c:formatCode>0.000</c:formatCode>
                <c:ptCount val="3"/>
                <c:pt idx="0">
                  <c:v>1.4972789667208417</c:v>
                </c:pt>
                <c:pt idx="1">
                  <c:v>4.0175395262504026</c:v>
                </c:pt>
                <c:pt idx="2">
                  <c:v>4.4740805143810576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9-4AB4-B18B-F1F3B0CB68C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('0 Water'!$B$4,'0 Water'!$C$4,'0 Water'!$D$4)</c:f>
              <c:numCache>
                <c:formatCode>General</c:formatCode>
                <c:ptCount val="3"/>
                <c:pt idx="0">
                  <c:v>1.3140000000000001</c:v>
                </c:pt>
                <c:pt idx="1">
                  <c:v>4.0460000000000003</c:v>
                </c:pt>
                <c:pt idx="2">
                  <c:v>4.2409999999999997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9-4AB4-B18B-F1F3B0CB6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825775"/>
        <c:axId val="1065822415"/>
      </c:barChart>
      <c:catAx>
        <c:axId val="106582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22415"/>
        <c:crosses val="autoZero"/>
        <c:auto val="1"/>
        <c:lblAlgn val="ctr"/>
        <c:lblOffset val="100"/>
        <c:noMultiLvlLbl val="0"/>
      </c:catAx>
      <c:valAx>
        <c:axId val="10658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2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('1 Water'!$B$3,'1 Water'!$C$3,'1 Water'!$D$3)</c:f>
              <c:numCache>
                <c:formatCode>0.000</c:formatCode>
                <c:ptCount val="3"/>
                <c:pt idx="0">
                  <c:v>2.0386339392989612</c:v>
                </c:pt>
                <c:pt idx="1">
                  <c:v>4.5758421843074757</c:v>
                </c:pt>
                <c:pt idx="2">
                  <c:v>5.0548929011383734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9-437F-80E4-1EF16FFF79C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('1 Water'!$B$4,'1 Water'!$C$4,'1 Water'!$D$4)</c:f>
              <c:numCache>
                <c:formatCode>General</c:formatCode>
                <c:ptCount val="3"/>
                <c:pt idx="0">
                  <c:v>1.8520000000000001</c:v>
                </c:pt>
                <c:pt idx="1">
                  <c:v>4.6180000000000003</c:v>
                </c:pt>
                <c:pt idx="2">
                  <c:v>4.8179999999999996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9-437F-80E4-1EF16FFF7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095839"/>
        <c:axId val="152097279"/>
      </c:barChart>
      <c:catAx>
        <c:axId val="152095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7279"/>
        <c:crosses val="autoZero"/>
        <c:auto val="1"/>
        <c:lblAlgn val="ctr"/>
        <c:lblOffset val="100"/>
        <c:noMultiLvlLbl val="0"/>
      </c:catAx>
      <c:valAx>
        <c:axId val="15209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('2 Water'!$B$3,'2 Water'!$C$3,'2 Water'!$D$3)</c:f>
              <c:numCache>
                <c:formatCode>0.000</c:formatCode>
                <c:ptCount val="3"/>
                <c:pt idx="0">
                  <c:v>2.5475965512250696</c:v>
                </c:pt>
                <c:pt idx="1">
                  <c:v>5.1759787586670427</c:v>
                </c:pt>
                <c:pt idx="2">
                  <c:v>5.6033989580446359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B-46B9-AA1B-BC5660E24D7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('2 Water'!$B$4,'2 Water'!$C$4,'2 Water'!$D$4)</c:f>
              <c:numCache>
                <c:formatCode>General</c:formatCode>
                <c:ptCount val="3"/>
                <c:pt idx="0">
                  <c:v>2.3820000000000001</c:v>
                </c:pt>
                <c:pt idx="1">
                  <c:v>5.2039999999999997</c:v>
                </c:pt>
                <c:pt idx="2">
                  <c:v>5.3849999999999998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B-46B9-AA1B-BC5660E24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82751"/>
        <c:axId val="42983231"/>
      </c:barChart>
      <c:catAx>
        <c:axId val="42982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3231"/>
        <c:crosses val="autoZero"/>
        <c:auto val="1"/>
        <c:lblAlgn val="ctr"/>
        <c:lblOffset val="100"/>
        <c:noMultiLvlLbl val="0"/>
      </c:catAx>
      <c:valAx>
        <c:axId val="4298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('2 Water non'!$B$3,'2 Water non'!$C$3,'2 Water non'!$D$3)</c:f>
              <c:numCache>
                <c:formatCode>General</c:formatCode>
                <c:ptCount val="3"/>
                <c:pt idx="0">
                  <c:v>2.2861213604155637</c:v>
                </c:pt>
                <c:pt idx="1">
                  <c:v>4.5738158754593314</c:v>
                </c:pt>
                <c:pt idx="2">
                  <c:v>5.1092336388774129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A-4766-9A98-1FC8DCA360D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('2 Water non'!$B$4,'2 Water non'!$C$4,'2 Water non'!$D$4)</c:f>
              <c:numCache>
                <c:formatCode>General</c:formatCode>
                <c:ptCount val="3"/>
                <c:pt idx="0">
                  <c:v>2.0979999999999999</c:v>
                </c:pt>
                <c:pt idx="1">
                  <c:v>4.7359999999999998</c:v>
                </c:pt>
                <c:pt idx="2">
                  <c:v>4.9470000000000001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A-4766-9A98-1FC8DCA36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784528"/>
        <c:axId val="2007778768"/>
      </c:barChart>
      <c:catAx>
        <c:axId val="2007784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78768"/>
        <c:crosses val="autoZero"/>
        <c:auto val="1"/>
        <c:lblAlgn val="ctr"/>
        <c:lblOffset val="100"/>
        <c:noMultiLvlLbl val="0"/>
      </c:catAx>
      <c:valAx>
        <c:axId val="20077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8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130175</xdr:colOff>
      <xdr:row>3</xdr:row>
      <xdr:rowOff>31750</xdr:rowOff>
    </xdr:from>
    <xdr:to>
      <xdr:col>13</xdr:col>
      <xdr:colOff>434975</xdr:colOff>
      <xdr:row>18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D0761C-9521-38FD-94A5-545CDA1C6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434975</xdr:colOff>
      <xdr:row>2</xdr:row>
      <xdr:rowOff>107950</xdr:rowOff>
    </xdr:from>
    <xdr:to>
      <xdr:col>13</xdr:col>
      <xdr:colOff>130175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9AFCBC-8D69-31D6-596C-1BBB8CA11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1</xdr:row>
      <xdr:rowOff>161925</xdr:rowOff>
    </xdr:from>
    <xdr:to>
      <xdr:col>14</xdr:col>
      <xdr:colOff>482600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39CF2-8039-C6BA-2406-0BB577099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73025</xdr:colOff>
      <xdr:row>2</xdr:row>
      <xdr:rowOff>57150</xdr:rowOff>
    </xdr:from>
    <xdr:to>
      <xdr:col>14</xdr:col>
      <xdr:colOff>377825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3BFE8-4636-96FD-BD94-191E63206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75CE-C636-4CB5-A953-D772D7978CEB}">
  <dimension ref="A2:E28"/>
  <sheetViews>
    <sheetView workbookViewId="0">
      <selection activeCell="B4" sqref="B4:D4"/>
    </sheetView>
  </sheetViews>
  <sheetFormatPr defaultRowHeight="14.5" x14ac:dyDescent="0.35"/>
  <cols>
    <col min="1" max="1" width="26.1796875" customWidth="1"/>
  </cols>
  <sheetData>
    <row r="2" spans="1:5" x14ac:dyDescent="0.35">
      <c r="A2" t="s">
        <v>5</v>
      </c>
      <c r="B2" t="s">
        <v>2</v>
      </c>
      <c r="C2" t="s">
        <v>3</v>
      </c>
      <c r="D2" t="s">
        <v>4</v>
      </c>
    </row>
    <row r="3" spans="1:5" x14ac:dyDescent="0.35">
      <c r="A3" t="s">
        <v>0</v>
      </c>
      <c r="B3" s="2">
        <f>E10</f>
        <v>1.4972789667208417</v>
      </c>
      <c r="C3" s="2">
        <f>E11</f>
        <v>4.0175395262504026</v>
      </c>
      <c r="D3" s="2">
        <f>E12</f>
        <v>4.4740805143810576</v>
      </c>
      <c r="E3" t="s">
        <v>6</v>
      </c>
    </row>
    <row r="4" spans="1:5" x14ac:dyDescent="0.35">
      <c r="A4" t="s">
        <v>1</v>
      </c>
      <c r="B4">
        <v>1.3140000000000001</v>
      </c>
      <c r="C4">
        <v>4.0460000000000003</v>
      </c>
      <c r="D4">
        <v>4.2409999999999997</v>
      </c>
      <c r="E4" t="s">
        <v>6</v>
      </c>
    </row>
    <row r="8" spans="1:5" x14ac:dyDescent="0.35">
      <c r="B8" t="s">
        <v>11</v>
      </c>
      <c r="C8" t="s">
        <v>12</v>
      </c>
    </row>
    <row r="9" spans="1:5" x14ac:dyDescent="0.35">
      <c r="A9" t="s">
        <v>8</v>
      </c>
      <c r="B9">
        <v>-342.38002593461698</v>
      </c>
      <c r="C9">
        <f>27.2114*B9</f>
        <v>-9316.6398377172372</v>
      </c>
    </row>
    <row r="10" spans="1:5" x14ac:dyDescent="0.35">
      <c r="A10" t="s">
        <v>7</v>
      </c>
      <c r="B10">
        <v>-342.32500197529401</v>
      </c>
      <c r="C10">
        <f>27.2114*B10</f>
        <v>-9315.1425587505164</v>
      </c>
      <c r="E10">
        <f>C10-C$9</f>
        <v>1.4972789667208417</v>
      </c>
    </row>
    <row r="11" spans="1:5" x14ac:dyDescent="0.35">
      <c r="A11" t="s">
        <v>9</v>
      </c>
      <c r="B11">
        <v>-342.232384154839</v>
      </c>
      <c r="C11">
        <f>27.2114*B11</f>
        <v>-9312.6222981909868</v>
      </c>
      <c r="E11">
        <f t="shared" ref="E11:E12" si="0">C11-C$9</f>
        <v>4.0175395262504026</v>
      </c>
    </row>
    <row r="12" spans="1:5" x14ac:dyDescent="0.35">
      <c r="A12" t="s">
        <v>10</v>
      </c>
      <c r="B12">
        <v>-342.21560659146002</v>
      </c>
      <c r="C12">
        <f t="shared" ref="C12" si="1">27.2114*B12</f>
        <v>-9312.1657572028562</v>
      </c>
      <c r="E12">
        <f t="shared" si="0"/>
        <v>4.4740805143810576</v>
      </c>
    </row>
    <row r="19" spans="2:4" x14ac:dyDescent="0.35">
      <c r="B19">
        <v>-342.16719228993497</v>
      </c>
    </row>
    <row r="27" spans="2:4" x14ac:dyDescent="0.35">
      <c r="B27">
        <v>1</v>
      </c>
      <c r="C27">
        <v>1</v>
      </c>
      <c r="D27">
        <v>1</v>
      </c>
    </row>
    <row r="28" spans="2:4" x14ac:dyDescent="0.35">
      <c r="B28">
        <v>2</v>
      </c>
      <c r="C28">
        <v>2</v>
      </c>
      <c r="D28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8CE8-89F9-4A16-A6BA-EC812BC18DE5}">
  <dimension ref="A2:E12"/>
  <sheetViews>
    <sheetView workbookViewId="0">
      <selection activeCell="B4" sqref="B4:D4"/>
    </sheetView>
  </sheetViews>
  <sheetFormatPr defaultRowHeight="14.5" x14ac:dyDescent="0.35"/>
  <cols>
    <col min="1" max="1" width="26.08984375" customWidth="1"/>
  </cols>
  <sheetData>
    <row r="2" spans="1:5" x14ac:dyDescent="0.35">
      <c r="A2" t="s">
        <v>5</v>
      </c>
      <c r="B2" t="s">
        <v>2</v>
      </c>
      <c r="C2" t="s">
        <v>3</v>
      </c>
      <c r="D2" t="s">
        <v>4</v>
      </c>
    </row>
    <row r="3" spans="1:5" x14ac:dyDescent="0.35">
      <c r="A3" t="s">
        <v>0</v>
      </c>
      <c r="B3" s="2">
        <f>E10</f>
        <v>2.0386339392989612</v>
      </c>
      <c r="C3" s="2">
        <f>E11</f>
        <v>4.5758421843074757</v>
      </c>
      <c r="D3" s="2">
        <f>E12</f>
        <v>5.0548929011383734</v>
      </c>
    </row>
    <row r="4" spans="1:5" x14ac:dyDescent="0.35">
      <c r="A4" t="s">
        <v>1</v>
      </c>
      <c r="B4">
        <v>1.8520000000000001</v>
      </c>
      <c r="C4">
        <v>4.6180000000000003</v>
      </c>
      <c r="D4">
        <v>4.8179999999999996</v>
      </c>
    </row>
    <row r="8" spans="1:5" x14ac:dyDescent="0.35">
      <c r="B8" t="s">
        <v>11</v>
      </c>
      <c r="C8" t="s">
        <v>12</v>
      </c>
    </row>
    <row r="9" spans="1:5" x14ac:dyDescent="0.35">
      <c r="A9" t="s">
        <v>8</v>
      </c>
      <c r="B9">
        <v>-418.82277788402399</v>
      </c>
      <c r="C9">
        <f>27.2114*B9</f>
        <v>-11396.754138113331</v>
      </c>
    </row>
    <row r="10" spans="1:5" x14ac:dyDescent="0.35">
      <c r="A10" t="s">
        <v>7</v>
      </c>
      <c r="B10">
        <v>-418.74785950645798</v>
      </c>
      <c r="C10">
        <f t="shared" ref="C10:C12" si="0">27.2114*B10</f>
        <v>-11394.715504174032</v>
      </c>
      <c r="E10">
        <f>C10-C$9</f>
        <v>2.0386339392989612</v>
      </c>
    </row>
    <row r="11" spans="1:5" x14ac:dyDescent="0.35">
      <c r="A11" t="s">
        <v>9</v>
      </c>
      <c r="B11">
        <v>-418.654618870364</v>
      </c>
      <c r="C11">
        <f t="shared" si="0"/>
        <v>-11392.178295929023</v>
      </c>
      <c r="E11">
        <f t="shared" ref="E11:E12" si="1">C11-C$9</f>
        <v>4.5758421843074757</v>
      </c>
    </row>
    <row r="12" spans="1:5" x14ac:dyDescent="0.35">
      <c r="A12" t="s">
        <v>10</v>
      </c>
      <c r="B12">
        <v>-418.637014090131</v>
      </c>
      <c r="C12">
        <f t="shared" si="0"/>
        <v>-11391.699245212192</v>
      </c>
      <c r="E12">
        <f t="shared" si="1"/>
        <v>5.0548929011383734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5891-9503-47C2-A228-CD8BF12BD48A}">
  <dimension ref="A2:F21"/>
  <sheetViews>
    <sheetView workbookViewId="0">
      <selection activeCell="B4" sqref="B4:D4"/>
    </sheetView>
  </sheetViews>
  <sheetFormatPr defaultRowHeight="14.5" x14ac:dyDescent="0.35"/>
  <cols>
    <col min="1" max="1" width="26.26953125" customWidth="1"/>
    <col min="4" max="4" width="13.08984375" bestFit="1" customWidth="1"/>
  </cols>
  <sheetData>
    <row r="2" spans="1:6" x14ac:dyDescent="0.35">
      <c r="A2" t="s">
        <v>5</v>
      </c>
      <c r="B2" t="s">
        <v>2</v>
      </c>
      <c r="C2" t="s">
        <v>3</v>
      </c>
      <c r="D2" t="s">
        <v>4</v>
      </c>
    </row>
    <row r="3" spans="1:6" x14ac:dyDescent="0.35">
      <c r="A3" t="s">
        <v>0</v>
      </c>
      <c r="B3" s="2">
        <f>F10</f>
        <v>2.5475965512250696</v>
      </c>
      <c r="C3" s="2">
        <f>F11</f>
        <v>5.1759787586670427</v>
      </c>
      <c r="D3" s="2">
        <f>F12</f>
        <v>5.6033989580446359</v>
      </c>
    </row>
    <row r="4" spans="1:6" x14ac:dyDescent="0.35">
      <c r="A4" t="s">
        <v>1</v>
      </c>
      <c r="B4">
        <v>2.3820000000000001</v>
      </c>
      <c r="C4">
        <v>5.2039999999999997</v>
      </c>
      <c r="D4">
        <v>5.3849999999999998</v>
      </c>
    </row>
    <row r="8" spans="1:6" x14ac:dyDescent="0.35">
      <c r="B8" t="s">
        <v>11</v>
      </c>
      <c r="C8" t="s">
        <v>12</v>
      </c>
      <c r="D8" t="s">
        <v>13</v>
      </c>
    </row>
    <row r="9" spans="1:6" x14ac:dyDescent="0.35">
      <c r="A9" t="s">
        <v>8</v>
      </c>
      <c r="B9">
        <v>-495.26331989915502</v>
      </c>
      <c r="C9">
        <f>27.2114*B9</f>
        <v>-13476.808303103868</v>
      </c>
      <c r="D9" s="1">
        <f>B16*C9</f>
        <v>0</v>
      </c>
    </row>
    <row r="10" spans="1:6" x14ac:dyDescent="0.35">
      <c r="A10" t="s">
        <v>7</v>
      </c>
      <c r="B10">
        <v>-495.16969750004199</v>
      </c>
      <c r="C10">
        <f>27.2114*B10</f>
        <v>-13474.260706552643</v>
      </c>
      <c r="D10">
        <f t="shared" ref="D10:D12" si="0">96.485*C10</f>
        <v>-1300064.0442717317</v>
      </c>
      <c r="F10">
        <f>C10-C$9</f>
        <v>2.5475965512250696</v>
      </c>
    </row>
    <row r="11" spans="1:6" x14ac:dyDescent="0.35">
      <c r="A11" t="s">
        <v>9</v>
      </c>
      <c r="B11">
        <v>-495.07310628432202</v>
      </c>
      <c r="C11">
        <f t="shared" ref="C11:C12" si="1">27.2114*B11</f>
        <v>-13471.632324345201</v>
      </c>
      <c r="D11">
        <f t="shared" si="0"/>
        <v>-1299810.4448144466</v>
      </c>
      <c r="F11">
        <f>C11-C$9</f>
        <v>5.1759787586670427</v>
      </c>
    </row>
    <row r="12" spans="1:6" x14ac:dyDescent="0.35">
      <c r="A12" t="s">
        <v>10</v>
      </c>
      <c r="B12">
        <v>-495.05739888965002</v>
      </c>
      <c r="C12">
        <f t="shared" si="1"/>
        <v>-13471.204904145823</v>
      </c>
      <c r="D12">
        <f t="shared" si="0"/>
        <v>-1299769.2051765097</v>
      </c>
      <c r="F12">
        <f>C12-C$9</f>
        <v>5.6033989580446359</v>
      </c>
    </row>
    <row r="21" spans="2:4" x14ac:dyDescent="0.35">
      <c r="B21">
        <f>96.485*B4</f>
        <v>229.82727</v>
      </c>
      <c r="C21">
        <f t="shared" ref="C21:D21" si="2">96.485*C4</f>
        <v>502.10793999999999</v>
      </c>
      <c r="D21">
        <f t="shared" si="2"/>
        <v>519.57172500000001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E7D8-5C1B-4553-994F-071E7A0FD126}">
  <dimension ref="A2:F28"/>
  <sheetViews>
    <sheetView tabSelected="1" workbookViewId="0">
      <selection activeCell="M29" sqref="M29"/>
    </sheetView>
  </sheetViews>
  <sheetFormatPr defaultRowHeight="14.5" x14ac:dyDescent="0.35"/>
  <cols>
    <col min="1" max="1" width="26.1796875" customWidth="1"/>
    <col min="4" max="4" width="13.08984375" bestFit="1" customWidth="1"/>
  </cols>
  <sheetData>
    <row r="2" spans="1:6" x14ac:dyDescent="0.35">
      <c r="A2" t="s">
        <v>5</v>
      </c>
      <c r="B2" t="s">
        <v>2</v>
      </c>
      <c r="C2" t="s">
        <v>3</v>
      </c>
      <c r="D2" t="s">
        <v>4</v>
      </c>
    </row>
    <row r="3" spans="1:6" x14ac:dyDescent="0.35">
      <c r="A3" t="s">
        <v>0</v>
      </c>
      <c r="B3">
        <f>F10</f>
        <v>2.2861213604155637</v>
      </c>
      <c r="C3">
        <f>F11</f>
        <v>4.5738158754593314</v>
      </c>
      <c r="D3">
        <f>F12</f>
        <v>5.1092336388774129</v>
      </c>
    </row>
    <row r="4" spans="1:6" x14ac:dyDescent="0.35">
      <c r="A4" t="s">
        <v>1</v>
      </c>
      <c r="B4">
        <v>2.0979999999999999</v>
      </c>
      <c r="C4">
        <v>4.7359999999999998</v>
      </c>
      <c r="D4">
        <v>4.9470000000000001</v>
      </c>
    </row>
    <row r="8" spans="1:6" x14ac:dyDescent="0.35">
      <c r="B8" t="s">
        <v>11</v>
      </c>
      <c r="C8" t="s">
        <v>12</v>
      </c>
      <c r="D8" t="s">
        <v>13</v>
      </c>
    </row>
    <row r="9" spans="1:6" x14ac:dyDescent="0.35">
      <c r="A9" t="s">
        <v>8</v>
      </c>
      <c r="B9">
        <v>-495.25423054222898</v>
      </c>
      <c r="C9">
        <f>27.2114*B9</f>
        <v>-13476.56096897681</v>
      </c>
    </row>
    <row r="10" spans="1:6" x14ac:dyDescent="0.35">
      <c r="A10" t="s">
        <v>7</v>
      </c>
      <c r="B10">
        <v>-495.17021717428702</v>
      </c>
      <c r="C10">
        <f t="shared" ref="C10:C12" si="0">27.2114*B10</f>
        <v>-13474.274847616394</v>
      </c>
      <c r="F10">
        <f>C10-C$9</f>
        <v>2.2861213604155637</v>
      </c>
    </row>
    <row r="11" spans="1:6" x14ac:dyDescent="0.35">
      <c r="A11" t="s">
        <v>9</v>
      </c>
      <c r="B11">
        <v>-495.08614599400801</v>
      </c>
      <c r="C11">
        <f t="shared" si="0"/>
        <v>-13471.98715310135</v>
      </c>
      <c r="F11">
        <f>C11-C$9</f>
        <v>4.5738158754593314</v>
      </c>
    </row>
    <row r="12" spans="1:6" x14ac:dyDescent="0.35">
      <c r="A12" t="s">
        <v>10</v>
      </c>
      <c r="B12">
        <v>-495.06646976406699</v>
      </c>
      <c r="C12">
        <f t="shared" si="0"/>
        <v>-13471.451735337932</v>
      </c>
      <c r="F12">
        <f>C12-C$9</f>
        <v>5.1092336388774129</v>
      </c>
    </row>
    <row r="22" spans="2:4" x14ac:dyDescent="0.35">
      <c r="B22">
        <f>96.485*B4</f>
        <v>202.42552999999998</v>
      </c>
      <c r="C22">
        <f t="shared" ref="C22:D22" si="1">96.485*C4</f>
        <v>456.95295999999996</v>
      </c>
      <c r="D22">
        <f t="shared" si="1"/>
        <v>477.31129500000003</v>
      </c>
    </row>
    <row r="28" spans="2:4" x14ac:dyDescent="0.35">
      <c r="B28">
        <f>B22-'2 Water'!B21</f>
        <v>-27.401740000000018</v>
      </c>
      <c r="C28">
        <f>C22-'2 Water'!C21</f>
        <v>-45.154980000000023</v>
      </c>
      <c r="D28">
        <f>D22-'2 Water'!D21</f>
        <v>-42.260429999999985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 Water</vt:lpstr>
      <vt:lpstr>1 Water</vt:lpstr>
      <vt:lpstr>2 Water</vt:lpstr>
      <vt:lpstr>2 Water 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Hardman</dc:creator>
  <cp:lastModifiedBy>Nick Hardman</cp:lastModifiedBy>
  <dcterms:created xsi:type="dcterms:W3CDTF">2026-01-25T16:17:31Z</dcterms:created>
  <dcterms:modified xsi:type="dcterms:W3CDTF">2026-03-02T17:34:04Z</dcterms:modified>
</cp:coreProperties>
</file>