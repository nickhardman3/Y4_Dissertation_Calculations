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d07f7ca3c8559/Documents/Chemistry/Y4/Diss/Calculations/Vazquez/"/>
    </mc:Choice>
  </mc:AlternateContent>
  <xr:revisionPtr revIDLastSave="183" documentId="8_{EF574CE1-9026-4515-AC12-07D8BB7024DD}" xr6:coauthVersionLast="47" xr6:coauthVersionMax="47" xr10:uidLastSave="{C682B0E3-D3AB-486B-99EC-27153B24D2E6}"/>
  <bookViews>
    <workbookView xWindow="57480" yWindow="-8190" windowWidth="29040" windowHeight="15720" activeTab="3" xr2:uid="{6D12E7D3-827E-4A5E-9FE9-2823E1C1DAD5}"/>
  </bookViews>
  <sheets>
    <sheet name="Gas" sheetId="3" r:id="rId1"/>
    <sheet name="1 Water" sheetId="2" r:id="rId2"/>
    <sheet name="1 Water non" sheetId="4" r:id="rId3"/>
    <sheet name="2 Water" sheetId="1" r:id="rId4"/>
    <sheet name="2 Water non" sheetId="5" r:id="rId5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I3" i="1" l="1"/>
  <c r="P3" i="4"/>
  <c r="I3" i="2"/>
  <c r="B3" i="2"/>
  <c r="P4" i="2" s="1"/>
  <c r="P3" i="3"/>
  <c r="P4" i="5"/>
  <c r="I4" i="5"/>
  <c r="B4" i="5"/>
  <c r="P4" i="4"/>
  <c r="B4" i="4"/>
  <c r="P4" i="1"/>
  <c r="I4" i="1"/>
  <c r="B4" i="1"/>
  <c r="P3" i="1"/>
  <c r="B3" i="1"/>
  <c r="P3" i="5"/>
  <c r="I3" i="5"/>
  <c r="P3" i="2"/>
  <c r="B3" i="4"/>
  <c r="B3" i="3"/>
  <c r="P4" i="3"/>
  <c r="B4" i="3"/>
  <c r="B4" i="2" l="1"/>
  <c r="I4" i="2"/>
</calcChain>
</file>

<file path=xl/sharedStrings.xml><?xml version="1.0" encoding="utf-8"?>
<sst xmlns="http://schemas.openxmlformats.org/spreadsheetml/2006/main" count="265" uniqueCount="35">
  <si>
    <t>filename</t>
  </si>
  <si>
    <t>final_single_point_energy</t>
  </si>
  <si>
    <t>./dor_2_wat_retry_3.out</t>
  </si>
  <si>
    <t>./hm_opt_2_wat.out</t>
  </si>
  <si>
    <t>./non_2_wat_1.out</t>
  </si>
  <si>
    <t>./non_2_wat_2.out</t>
  </si>
  <si>
    <t>./vaz_2_wat.out</t>
  </si>
  <si>
    <t>./vaz_non_2_wat.out</t>
  </si>
  <si>
    <t>./vaz_non_1_wat.out</t>
  </si>
  <si>
    <t>./vaz_1_wat.out</t>
  </si>
  <si>
    <t>./non_1_wat.out</t>
  </si>
  <si>
    <t>./hm_opt_1_wat.out</t>
  </si>
  <si>
    <t>./dor_1_wat.out</t>
  </si>
  <si>
    <t>./opt_non.out</t>
  </si>
  <si>
    <t>./opt.out</t>
  </si>
  <si>
    <t>Hartrees</t>
  </si>
  <si>
    <t>kJ/mol</t>
  </si>
  <si>
    <t>Atom</t>
  </si>
  <si>
    <t>QA</t>
  </si>
  <si>
    <t>0 C</t>
  </si>
  <si>
    <t>1 C</t>
  </si>
  <si>
    <t>2 C</t>
  </si>
  <si>
    <t>3 H</t>
  </si>
  <si>
    <t>4 H</t>
  </si>
  <si>
    <t>5 H</t>
  </si>
  <si>
    <t>6 O</t>
  </si>
  <si>
    <t>7 O</t>
  </si>
  <si>
    <t>8 O</t>
  </si>
  <si>
    <t>9 H</t>
  </si>
  <si>
    <t>10 O</t>
  </si>
  <si>
    <t>11 H</t>
  </si>
  <si>
    <t>12 H</t>
  </si>
  <si>
    <t>13 O</t>
  </si>
  <si>
    <t>14 H</t>
  </si>
  <si>
    <t>15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</si>
</sst>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5</xdr:row>
      <xdr:rowOff>19050</xdr:rowOff>
    </xdr:from>
    <xdr:to>
      <xdr:col>8</xdr:col>
      <xdr:colOff>485775</xdr:colOff>
      <xdr:row>34</xdr:row>
      <xdr:rowOff>144151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CB2FB-7A9B-6922-B052-A12FA6F2D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23925"/>
          <a:ext cx="6553200" cy="5373376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5</xdr:row>
      <xdr:rowOff>0</xdr:rowOff>
    </xdr:from>
    <xdr:to>
      <xdr:col>23</xdr:col>
      <xdr:colOff>400050</xdr:colOff>
      <xdr:row>34</xdr:row>
      <xdr:rowOff>153909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FC203-008A-BBA7-A6C1-3448FC40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4076" y="904875"/>
          <a:ext cx="7000874" cy="5402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0</xdr:rowOff>
    </xdr:from>
    <xdr:to>
      <xdr:col>5</xdr:col>
      <xdr:colOff>597387</xdr:colOff>
      <xdr:row>25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6DC3DE-DA90-7513-C936-F6F024CA1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66825"/>
          <a:ext cx="5261461" cy="3276599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7</xdr:row>
      <xdr:rowOff>9525</xdr:rowOff>
    </xdr:from>
    <xdr:to>
      <xdr:col>12</xdr:col>
      <xdr:colOff>596900</xdr:colOff>
      <xdr:row>32</xdr:row>
      <xdr:rowOff>19239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06F03C-0949-48BF-6FF4-4388EA245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1850" y="1276350"/>
          <a:ext cx="4860925" cy="453408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171450</xdr:rowOff>
    </xdr:from>
    <xdr:to>
      <xdr:col>19</xdr:col>
      <xdr:colOff>609180</xdr:colOff>
      <xdr:row>30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EC9A95-A8F8-9017-26BB-0501FCA7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1257300"/>
          <a:ext cx="4895430" cy="419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180974</xdr:rowOff>
    </xdr:from>
    <xdr:to>
      <xdr:col>7</xdr:col>
      <xdr:colOff>12699</xdr:colOff>
      <xdr:row>36</xdr:row>
      <xdr:rowOff>143958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7DBC14-AC47-C913-4B41-7B2A22F6A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24"/>
          <a:ext cx="5819774" cy="538905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22</xdr:col>
      <xdr:colOff>406413</xdr:colOff>
      <xdr:row>35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208D81-6729-500B-C0F2-48EDAB10C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1266825"/>
          <a:ext cx="6848488" cy="5067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</xdr:rowOff>
    </xdr:from>
    <xdr:to>
      <xdr:col>6</xdr:col>
      <xdr:colOff>19192</xdr:colOff>
      <xdr:row>27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E49DF-0378-31CE-251E-9C8AEF0EA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26"/>
          <a:ext cx="5467492" cy="37718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13</xdr:col>
      <xdr:colOff>142875</xdr:colOff>
      <xdr:row>26</xdr:row>
      <xdr:rowOff>69170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66848-9954-AFB1-6810-55157C749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0" y="1266825"/>
          <a:ext cx="5305425" cy="350769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180974</xdr:rowOff>
    </xdr:from>
    <xdr:to>
      <xdr:col>19</xdr:col>
      <xdr:colOff>590550</xdr:colOff>
      <xdr:row>27</xdr:row>
      <xdr:rowOff>163710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0FD601-B192-E0BE-E643-30610EC7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30050" y="1266824"/>
          <a:ext cx="4886325" cy="37832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5</xdr:col>
      <xdr:colOff>596900</xdr:colOff>
      <xdr:row>29</xdr:row>
      <xdr:rowOff>48458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B693F-18A9-F851-E8D6-D1E5CA43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4875"/>
          <a:ext cx="5172075" cy="438868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12</xdr:col>
      <xdr:colOff>590550</xdr:colOff>
      <xdr:row>31</xdr:row>
      <xdr:rowOff>122621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7BF0AD-BEBD-613D-E7E5-35151FC5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1200" y="904875"/>
          <a:ext cx="5162550" cy="483114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20</xdr:col>
      <xdr:colOff>57873</xdr:colOff>
      <xdr:row>28</xdr:row>
      <xdr:rowOff>172055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090D74-D5E6-15A7-ECA4-0658A378C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0" y="904875"/>
          <a:ext cx="5182323" cy="43344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91AF-9883-421C-8F5B-1738B3EFEDD4}">
  <dimension ref="A1:Q47"/>
  <sheetViews>
    <sheetView workbookViewId="0">
      <selection activeCell="P4" sqref="P4"/>
    </sheetView>
  </sheetViews>
  <sheetFormatPr defaultRowHeight="14.5" x14ac:dyDescent="0.35"/>
  <cols>
    <col min="1" max="1" width="12.26953125" bestFit="1" customWidth="1"/>
    <col min="2" max="2" width="22.453125" bestFit="1" customWidth="1"/>
    <col min="15" max="15" width="12.26953125" bestFit="1" customWidth="1"/>
    <col min="16" max="16" width="21.08984375" customWidth="1"/>
  </cols>
  <sheetData>
    <row r="1" spans="1:17" x14ac:dyDescent="0.35">
      <c r="A1" t="s">
        <v>0</v>
      </c>
      <c r="B1" t="s">
        <v>1</v>
      </c>
    </row>
    <row r="2" spans="1:17" x14ac:dyDescent="0.35">
      <c r="A2" t="s">
        <v>14</v>
      </c>
      <c r="B2">
        <v>-342.38002593601601</v>
      </c>
      <c r="C2" t="s">
        <v>15</v>
      </c>
      <c r="O2" t="s">
        <v>13</v>
      </c>
      <c r="P2">
        <v>-342.36782574319398</v>
      </c>
      <c r="Q2" t="s">
        <v>15</v>
      </c>
    </row>
    <row r="3" spans="1:17" x14ac:dyDescent="0.35">
      <c r="B3">
        <f>2625.49962*B2</f>
        <v>-898918.62799060019</v>
      </c>
      <c r="C3" t="s">
        <v>16</v>
      </c>
      <c r="P3">
        <f>2625.49962*P2</f>
        <v>-898886.59638898203</v>
      </c>
      <c r="Q3" t="s">
        <v>16</v>
      </c>
    </row>
    <row r="4" spans="1:17" x14ac:dyDescent="0.35">
      <c r="B4">
        <f>B3-B3</f>
        <v>0</v>
      </c>
      <c r="C4" t="s">
        <v>16</v>
      </c>
      <c r="P4">
        <f>P3-B3</f>
        <v>32.031601618160494</v>
      </c>
      <c r="Q4" t="s">
        <v>16</v>
      </c>
    </row>
    <row r="37" spans="1:16" x14ac:dyDescent="0.35">
      <c r="A37" t="s">
        <v>17</v>
      </c>
      <c r="B37" t="s">
        <v>18</v>
      </c>
      <c r="O37" t="s">
        <v>17</v>
      </c>
      <c r="P37" t="s">
        <v>18</v>
      </c>
    </row>
    <row r="38" spans="1:16" x14ac:dyDescent="0.35">
      <c r="A38" t="s">
        <v>19</v>
      </c>
      <c r="B38">
        <v>7.3300000000000004E-2</v>
      </c>
      <c r="O38" t="s">
        <v>19</v>
      </c>
      <c r="P38">
        <v>4.8999999999999998E-3</v>
      </c>
    </row>
    <row r="39" spans="1:16" x14ac:dyDescent="0.35">
      <c r="A39" t="s">
        <v>20</v>
      </c>
      <c r="B39">
        <v>0.80020000000000002</v>
      </c>
      <c r="O39" t="s">
        <v>20</v>
      </c>
      <c r="P39">
        <v>0.85160000000000002</v>
      </c>
    </row>
    <row r="40" spans="1:16" x14ac:dyDescent="0.35">
      <c r="A40" t="s">
        <v>21</v>
      </c>
      <c r="B40">
        <v>0.61439999999999995</v>
      </c>
      <c r="O40" t="s">
        <v>21</v>
      </c>
      <c r="P40">
        <v>0.66420000000000001</v>
      </c>
    </row>
    <row r="41" spans="1:16" x14ac:dyDescent="0.35">
      <c r="A41" t="s">
        <v>22</v>
      </c>
      <c r="B41">
        <v>-0.1168</v>
      </c>
      <c r="O41" t="s">
        <v>22</v>
      </c>
      <c r="P41">
        <v>-0.12959999999999999</v>
      </c>
    </row>
    <row r="42" spans="1:16" x14ac:dyDescent="0.35">
      <c r="A42" t="s">
        <v>23</v>
      </c>
      <c r="B42">
        <v>-0.1168</v>
      </c>
      <c r="O42" t="s">
        <v>23</v>
      </c>
      <c r="P42">
        <v>-0.1308</v>
      </c>
    </row>
    <row r="43" spans="1:16" x14ac:dyDescent="0.35">
      <c r="A43" t="s">
        <v>24</v>
      </c>
      <c r="B43">
        <v>-0.26869999999999999</v>
      </c>
      <c r="O43" t="s">
        <v>24</v>
      </c>
      <c r="P43">
        <v>-0.317</v>
      </c>
    </row>
    <row r="44" spans="1:16" x14ac:dyDescent="0.35">
      <c r="A44" t="s">
        <v>25</v>
      </c>
      <c r="B44">
        <v>-0.88880000000000003</v>
      </c>
      <c r="O44" t="s">
        <v>25</v>
      </c>
      <c r="P44">
        <v>-0.78200000000000003</v>
      </c>
    </row>
    <row r="45" spans="1:16" x14ac:dyDescent="0.35">
      <c r="A45" t="s">
        <v>26</v>
      </c>
      <c r="B45">
        <v>-0.68440000000000001</v>
      </c>
      <c r="O45" t="s">
        <v>26</v>
      </c>
      <c r="P45">
        <v>-0.74229999999999996</v>
      </c>
    </row>
    <row r="46" spans="1:16" x14ac:dyDescent="0.35">
      <c r="A46" t="s">
        <v>27</v>
      </c>
      <c r="B46">
        <v>-0.55459999999999998</v>
      </c>
      <c r="O46" t="s">
        <v>27</v>
      </c>
      <c r="P46">
        <v>-0.53500000000000003</v>
      </c>
    </row>
    <row r="47" spans="1:16" x14ac:dyDescent="0.35">
      <c r="A47" t="s">
        <v>28</v>
      </c>
      <c r="B47">
        <v>0.14219999999999999</v>
      </c>
      <c r="O47" t="s">
        <v>28</v>
      </c>
      <c r="P47">
        <v>0.11600000000000001</v>
      </c>
    </row>
  </sheetData>
  <sortState xmlns:xlrd2="http://schemas.microsoft.com/office/spreadsheetml/2017/richdata2" ref="A2:B3">
    <sortCondition ref="B1:B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930E-19F4-436D-8844-157E6BF9750A}">
  <dimension ref="A1:Q48"/>
  <sheetViews>
    <sheetView workbookViewId="0">
      <selection activeCell="P32" sqref="P32"/>
    </sheetView>
  </sheetViews>
  <sheetFormatPr defaultRowHeight="14.5" x14ac:dyDescent="0.35"/>
  <cols>
    <col min="1" max="1" width="18.08984375" bestFit="1" customWidth="1"/>
    <col min="2" max="2" width="22.453125" bestFit="1" customWidth="1"/>
    <col min="8" max="8" width="14" bestFit="1" customWidth="1"/>
    <col min="9" max="9" width="21.1796875" customWidth="1"/>
    <col min="15" max="15" width="14" bestFit="1" customWidth="1"/>
    <col min="16" max="16" width="21.1796875" customWidth="1"/>
  </cols>
  <sheetData>
    <row r="1" spans="1:17" x14ac:dyDescent="0.35">
      <c r="A1" t="s">
        <v>0</v>
      </c>
      <c r="B1" t="s">
        <v>1</v>
      </c>
    </row>
    <row r="2" spans="1:17" x14ac:dyDescent="0.35">
      <c r="A2" t="s">
        <v>11</v>
      </c>
      <c r="B2">
        <v>-418.82277788363302</v>
      </c>
      <c r="C2" t="s">
        <v>15</v>
      </c>
      <c r="H2" t="s">
        <v>9</v>
      </c>
      <c r="I2">
        <v>-418.82231971694699</v>
      </c>
      <c r="J2" t="s">
        <v>15</v>
      </c>
      <c r="O2" t="s">
        <v>12</v>
      </c>
      <c r="P2">
        <v>-418.82231956595501</v>
      </c>
      <c r="Q2" t="s">
        <v>15</v>
      </c>
    </row>
    <row r="3" spans="1:17" x14ac:dyDescent="0.35">
      <c r="B3">
        <f>2625.49962*'1 Water'!B2</f>
        <v>-1099619.044180823</v>
      </c>
      <c r="C3" t="s">
        <v>16</v>
      </c>
      <c r="I3">
        <f>2625.49962*I2</f>
        <v>-1099617.8412643629</v>
      </c>
      <c r="J3" t="s">
        <v>16</v>
      </c>
      <c r="P3">
        <f>2625.49962*P2</f>
        <v>-1099617.8408679336</v>
      </c>
      <c r="Q3" t="s">
        <v>16</v>
      </c>
    </row>
    <row r="4" spans="1:17" x14ac:dyDescent="0.35">
      <c r="B4">
        <f>B3-B3</f>
        <v>0</v>
      </c>
      <c r="C4" t="s">
        <v>16</v>
      </c>
      <c r="I4">
        <f>I3-B3</f>
        <v>1.2029164601117373</v>
      </c>
      <c r="J4" t="s">
        <v>16</v>
      </c>
      <c r="P4">
        <f>P3-B3</f>
        <v>1.2033128894399852</v>
      </c>
      <c r="Q4" t="s">
        <v>16</v>
      </c>
    </row>
    <row r="35" spans="1:16" x14ac:dyDescent="0.35">
      <c r="A35" t="s">
        <v>17</v>
      </c>
      <c r="B35" t="s">
        <v>18</v>
      </c>
      <c r="H35" t="s">
        <v>17</v>
      </c>
      <c r="I35" t="s">
        <v>18</v>
      </c>
      <c r="O35" t="s">
        <v>17</v>
      </c>
      <c r="P35" t="s">
        <v>18</v>
      </c>
    </row>
    <row r="36" spans="1:16" x14ac:dyDescent="0.35">
      <c r="A36" t="s">
        <v>19</v>
      </c>
      <c r="B36">
        <v>-1.49E-2</v>
      </c>
      <c r="H36" t="s">
        <v>19</v>
      </c>
      <c r="I36">
        <v>0.17100000000000001</v>
      </c>
      <c r="O36" t="s">
        <v>19</v>
      </c>
      <c r="P36">
        <v>0.17180000000000001</v>
      </c>
    </row>
    <row r="37" spans="1:16" x14ac:dyDescent="0.35">
      <c r="A37" t="s">
        <v>20</v>
      </c>
      <c r="B37">
        <v>0.9355</v>
      </c>
      <c r="H37" t="s">
        <v>20</v>
      </c>
      <c r="I37">
        <v>0.78669999999999995</v>
      </c>
      <c r="O37" t="s">
        <v>20</v>
      </c>
      <c r="P37">
        <v>0.78649999999999998</v>
      </c>
    </row>
    <row r="38" spans="1:16" x14ac:dyDescent="0.35">
      <c r="A38" t="s">
        <v>21</v>
      </c>
      <c r="B38">
        <v>0.62749999999999995</v>
      </c>
      <c r="H38" t="s">
        <v>21</v>
      </c>
      <c r="I38">
        <v>0.60589999999999999</v>
      </c>
      <c r="O38" t="s">
        <v>21</v>
      </c>
      <c r="P38">
        <v>0.60850000000000004</v>
      </c>
    </row>
    <row r="39" spans="1:16" x14ac:dyDescent="0.35">
      <c r="A39" t="s">
        <v>22</v>
      </c>
      <c r="B39">
        <v>-0.1045</v>
      </c>
      <c r="H39" t="s">
        <v>22</v>
      </c>
      <c r="I39">
        <v>-9.3899999999999997E-2</v>
      </c>
      <c r="O39" t="s">
        <v>22</v>
      </c>
      <c r="P39">
        <v>-9.6500000000000002E-2</v>
      </c>
    </row>
    <row r="40" spans="1:16" x14ac:dyDescent="0.35">
      <c r="A40" t="s">
        <v>23</v>
      </c>
      <c r="B40">
        <v>-0.1045</v>
      </c>
      <c r="H40" t="s">
        <v>23</v>
      </c>
      <c r="I40">
        <v>-0.1111</v>
      </c>
      <c r="O40" t="s">
        <v>23</v>
      </c>
      <c r="P40">
        <v>-0.1075</v>
      </c>
    </row>
    <row r="41" spans="1:16" x14ac:dyDescent="0.35">
      <c r="A41" t="s">
        <v>24</v>
      </c>
      <c r="B41">
        <v>-0.28160000000000002</v>
      </c>
      <c r="H41" t="s">
        <v>24</v>
      </c>
      <c r="I41">
        <v>-0.29670000000000002</v>
      </c>
      <c r="O41" t="s">
        <v>24</v>
      </c>
      <c r="P41">
        <v>-0.30270000000000002</v>
      </c>
    </row>
    <row r="42" spans="1:16" x14ac:dyDescent="0.35">
      <c r="A42" t="s">
        <v>25</v>
      </c>
      <c r="B42">
        <v>-0.87860000000000005</v>
      </c>
      <c r="H42" t="s">
        <v>25</v>
      </c>
      <c r="I42">
        <v>-0.9909</v>
      </c>
      <c r="O42" t="s">
        <v>25</v>
      </c>
      <c r="P42">
        <v>-0.99370000000000003</v>
      </c>
    </row>
    <row r="43" spans="1:16" x14ac:dyDescent="0.35">
      <c r="A43" t="s">
        <v>26</v>
      </c>
      <c r="B43">
        <v>-0.73980000000000001</v>
      </c>
      <c r="H43" t="s">
        <v>26</v>
      </c>
      <c r="I43">
        <v>-0.66739999999999999</v>
      </c>
      <c r="O43" t="s">
        <v>26</v>
      </c>
      <c r="P43">
        <v>-0.66759999999999997</v>
      </c>
    </row>
    <row r="44" spans="1:16" x14ac:dyDescent="0.35">
      <c r="A44" t="s">
        <v>27</v>
      </c>
      <c r="B44">
        <v>-0.57820000000000005</v>
      </c>
      <c r="H44" t="s">
        <v>27</v>
      </c>
      <c r="I44">
        <v>-0.54610000000000003</v>
      </c>
      <c r="O44" t="s">
        <v>27</v>
      </c>
      <c r="P44">
        <v>-0.54630000000000001</v>
      </c>
    </row>
    <row r="45" spans="1:16" x14ac:dyDescent="0.35">
      <c r="A45" t="s">
        <v>28</v>
      </c>
      <c r="B45">
        <v>0.17299999999999999</v>
      </c>
      <c r="H45" t="s">
        <v>28</v>
      </c>
      <c r="I45">
        <v>0.1492</v>
      </c>
      <c r="O45" t="s">
        <v>28</v>
      </c>
      <c r="P45">
        <v>0.15060000000000001</v>
      </c>
    </row>
    <row r="46" spans="1:16" x14ac:dyDescent="0.35">
      <c r="A46" t="s">
        <v>29</v>
      </c>
      <c r="B46">
        <v>-0.36470000000000002</v>
      </c>
      <c r="H46" t="s">
        <v>29</v>
      </c>
      <c r="I46">
        <v>-0.33100000000000002</v>
      </c>
      <c r="O46" t="s">
        <v>29</v>
      </c>
      <c r="P46">
        <v>-0.33040000000000003</v>
      </c>
    </row>
    <row r="47" spans="1:16" x14ac:dyDescent="0.35">
      <c r="A47" t="s">
        <v>30</v>
      </c>
      <c r="B47">
        <v>0.1123</v>
      </c>
      <c r="H47" t="s">
        <v>30</v>
      </c>
      <c r="I47">
        <v>6.1100000000000002E-2</v>
      </c>
      <c r="O47" t="s">
        <v>30</v>
      </c>
      <c r="P47">
        <v>6.0400000000000002E-2</v>
      </c>
    </row>
    <row r="48" spans="1:16" x14ac:dyDescent="0.35">
      <c r="A48" t="s">
        <v>31</v>
      </c>
      <c r="B48">
        <v>0.2185</v>
      </c>
      <c r="H48" t="s">
        <v>31</v>
      </c>
      <c r="I48">
        <v>0.26340000000000002</v>
      </c>
      <c r="O48" t="s">
        <v>31</v>
      </c>
      <c r="P48">
        <v>0.26679999999999998</v>
      </c>
    </row>
  </sheetData>
  <sortState xmlns:xlrd2="http://schemas.microsoft.com/office/spreadsheetml/2017/richdata2" ref="A2:B6">
    <sortCondition ref="B1:B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8D87-D296-4474-93E4-E09A5B97C46F}">
  <dimension ref="A2:Q52"/>
  <sheetViews>
    <sheetView workbookViewId="0">
      <selection activeCell="P4" sqref="P4"/>
    </sheetView>
  </sheetViews>
  <sheetFormatPr defaultRowHeight="14.5" x14ac:dyDescent="0.35"/>
  <cols>
    <col min="1" max="1" width="18.08984375" bestFit="1" customWidth="1"/>
    <col min="2" max="2" width="21.36328125" customWidth="1"/>
    <col min="15" max="15" width="18.08984375" bestFit="1" customWidth="1"/>
    <col min="16" max="16" width="21.6328125" customWidth="1"/>
  </cols>
  <sheetData>
    <row r="2" spans="1:17" x14ac:dyDescent="0.35">
      <c r="A2" t="s">
        <v>10</v>
      </c>
      <c r="B2">
        <v>-418.813704943267</v>
      </c>
      <c r="C2" t="s">
        <v>15</v>
      </c>
      <c r="O2" t="s">
        <v>8</v>
      </c>
      <c r="P2">
        <v>-418.80984732241399</v>
      </c>
      <c r="Q2" t="s">
        <v>15</v>
      </c>
    </row>
    <row r="3" spans="1:17" x14ac:dyDescent="0.35">
      <c r="B3">
        <f>2625.49962*B2</f>
        <v>-1099595.2231793397</v>
      </c>
      <c r="C3" t="s">
        <v>16</v>
      </c>
      <c r="P3">
        <f>2625.49962*P2</f>
        <v>-1099585.0949972561</v>
      </c>
      <c r="Q3" t="s">
        <v>16</v>
      </c>
    </row>
    <row r="4" spans="1:17" x14ac:dyDescent="0.35">
      <c r="B4">
        <f>B3-B3</f>
        <v>0</v>
      </c>
      <c r="C4" t="s">
        <v>16</v>
      </c>
      <c r="P4">
        <f>P3-B3</f>
        <v>10.128182083601132</v>
      </c>
      <c r="Q4" t="s">
        <v>16</v>
      </c>
    </row>
    <row r="39" spans="1:16" x14ac:dyDescent="0.35">
      <c r="A39" t="s">
        <v>17</v>
      </c>
      <c r="B39" t="s">
        <v>18</v>
      </c>
      <c r="O39" t="s">
        <v>17</v>
      </c>
      <c r="P39" t="s">
        <v>18</v>
      </c>
    </row>
    <row r="40" spans="1:16" x14ac:dyDescent="0.35">
      <c r="A40" t="s">
        <v>19</v>
      </c>
      <c r="B40">
        <v>4.4299999999999999E-2</v>
      </c>
      <c r="O40" t="s">
        <v>19</v>
      </c>
      <c r="P40">
        <v>-5.7500000000000002E-2</v>
      </c>
    </row>
    <row r="41" spans="1:16" x14ac:dyDescent="0.35">
      <c r="A41" t="s">
        <v>20</v>
      </c>
      <c r="B41">
        <v>0.88890000000000002</v>
      </c>
      <c r="O41" t="s">
        <v>20</v>
      </c>
      <c r="P41">
        <v>0.95020000000000004</v>
      </c>
    </row>
    <row r="42" spans="1:16" x14ac:dyDescent="0.35">
      <c r="A42" t="s">
        <v>21</v>
      </c>
      <c r="B42">
        <v>0.6139</v>
      </c>
      <c r="O42" t="s">
        <v>21</v>
      </c>
      <c r="P42">
        <v>0.69259999999999999</v>
      </c>
    </row>
    <row r="43" spans="1:16" x14ac:dyDescent="0.35">
      <c r="A43" t="s">
        <v>22</v>
      </c>
      <c r="B43">
        <v>-0.1179</v>
      </c>
      <c r="O43" t="s">
        <v>22</v>
      </c>
      <c r="P43">
        <v>-0.12470000000000001</v>
      </c>
    </row>
    <row r="44" spans="1:16" x14ac:dyDescent="0.35">
      <c r="A44" t="s">
        <v>23</v>
      </c>
      <c r="B44">
        <v>-0.1172</v>
      </c>
      <c r="O44" t="s">
        <v>23</v>
      </c>
      <c r="P44">
        <v>-0.12620000000000001</v>
      </c>
    </row>
    <row r="45" spans="1:16" x14ac:dyDescent="0.35">
      <c r="A45" t="s">
        <v>24</v>
      </c>
      <c r="B45">
        <v>-0.30499999999999999</v>
      </c>
      <c r="O45" t="s">
        <v>24</v>
      </c>
      <c r="P45">
        <v>-0.35299999999999998</v>
      </c>
    </row>
    <row r="46" spans="1:16" x14ac:dyDescent="0.35">
      <c r="A46" t="s">
        <v>25</v>
      </c>
      <c r="B46">
        <v>-0.83819999999999995</v>
      </c>
      <c r="O46" t="s">
        <v>25</v>
      </c>
      <c r="P46">
        <v>-0.7742</v>
      </c>
    </row>
    <row r="47" spans="1:16" x14ac:dyDescent="0.35">
      <c r="A47" t="s">
        <v>26</v>
      </c>
      <c r="B47">
        <v>-0.7268</v>
      </c>
      <c r="O47" t="s">
        <v>26</v>
      </c>
      <c r="P47">
        <v>-0.80159999999999998</v>
      </c>
    </row>
    <row r="48" spans="1:16" x14ac:dyDescent="0.35">
      <c r="A48" t="s">
        <v>27</v>
      </c>
      <c r="B48">
        <v>-0.58130000000000004</v>
      </c>
      <c r="O48" t="s">
        <v>27</v>
      </c>
      <c r="P48">
        <v>-0.50990000000000002</v>
      </c>
    </row>
    <row r="49" spans="1:16" x14ac:dyDescent="0.35">
      <c r="A49" t="s">
        <v>28</v>
      </c>
      <c r="B49">
        <v>0.14749999999999999</v>
      </c>
      <c r="O49" t="s">
        <v>28</v>
      </c>
      <c r="P49">
        <v>9.9599999999999994E-2</v>
      </c>
    </row>
    <row r="50" spans="1:16" x14ac:dyDescent="0.35">
      <c r="A50" t="s">
        <v>29</v>
      </c>
      <c r="B50">
        <v>-0.3468</v>
      </c>
      <c r="O50" t="s">
        <v>29</v>
      </c>
      <c r="P50">
        <v>-0.3488</v>
      </c>
    </row>
    <row r="51" spans="1:16" x14ac:dyDescent="0.35">
      <c r="A51" t="s">
        <v>30</v>
      </c>
      <c r="B51">
        <v>0.22589999999999999</v>
      </c>
      <c r="O51" t="s">
        <v>30</v>
      </c>
      <c r="P51">
        <v>0.27360000000000001</v>
      </c>
    </row>
    <row r="52" spans="1:16" x14ac:dyDescent="0.35">
      <c r="A52" t="s">
        <v>31</v>
      </c>
      <c r="B52">
        <v>0.1125</v>
      </c>
      <c r="O52" t="s">
        <v>31</v>
      </c>
      <c r="P52">
        <v>7.9799999999999996E-2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97F9-965E-4B22-A20A-EE59B859C01F}">
  <dimension ref="A1:Q47"/>
  <sheetViews>
    <sheetView tabSelected="1" workbookViewId="0">
      <selection activeCell="I2" sqref="I2"/>
    </sheetView>
  </sheetViews>
  <sheetFormatPr defaultRowHeight="14.5" x14ac:dyDescent="0.35"/>
  <cols>
    <col min="1" max="1" width="20.54296875" bestFit="1" customWidth="1"/>
    <col min="2" max="2" width="22.453125" bestFit="1" customWidth="1"/>
    <col min="8" max="8" width="17.54296875" bestFit="1" customWidth="1"/>
    <col min="9" max="9" width="21.36328125" customWidth="1"/>
    <col min="15" max="15" width="13.90625" bestFit="1" customWidth="1"/>
    <col min="16" max="16" width="21.36328125" customWidth="1"/>
  </cols>
  <sheetData>
    <row r="1" spans="1:17" x14ac:dyDescent="0.35">
      <c r="A1" t="s">
        <v>0</v>
      </c>
      <c r="B1" t="s">
        <v>1</v>
      </c>
    </row>
    <row r="2" spans="1:17" x14ac:dyDescent="0.35">
      <c r="A2" t="s">
        <v>2</v>
      </c>
      <c r="B2">
        <v>-495.26332857059998</v>
      </c>
      <c r="C2" t="s">
        <v>15</v>
      </c>
      <c r="H2" t="s">
        <v>3</v>
      </c>
      <c r="I2">
        <v>-495.263319899659</v>
      </c>
      <c r="J2" t="s">
        <v>15</v>
      </c>
      <c r="O2" t="s">
        <v>6</v>
      </c>
      <c r="P2">
        <v>-495.25976075489001</v>
      </c>
      <c r="Q2" t="s">
        <v>15</v>
      </c>
    </row>
    <row r="3" spans="1:17" x14ac:dyDescent="0.35">
      <c r="B3">
        <f>2625.49962*B2</f>
        <v>-1300313.6809620454</v>
      </c>
      <c r="C3" t="s">
        <v>16</v>
      </c>
      <c r="I3">
        <f>2625.49962*I2</f>
        <v>-1300313.6581964931</v>
      </c>
      <c r="J3" t="s">
        <v>16</v>
      </c>
      <c r="P3">
        <f>2625.49962*P2</f>
        <v>-1300304.3136632547</v>
      </c>
      <c r="Q3" t="s">
        <v>16</v>
      </c>
    </row>
    <row r="4" spans="1:17" x14ac:dyDescent="0.35">
      <c r="B4">
        <f>B3-B3</f>
        <v>0</v>
      </c>
      <c r="C4" t="s">
        <v>16</v>
      </c>
      <c r="I4">
        <f>I3-B3</f>
        <v>2.2765552392229438E-2</v>
      </c>
      <c r="J4" t="s">
        <v>16</v>
      </c>
      <c r="P4">
        <f>P3-B3</f>
        <v>9.3672987907193601</v>
      </c>
      <c r="Q4" t="s">
        <v>16</v>
      </c>
    </row>
    <row r="31" spans="1:16" x14ac:dyDescent="0.35">
      <c r="A31" t="s">
        <v>17</v>
      </c>
      <c r="B31" t="s">
        <v>18</v>
      </c>
      <c r="H31" t="s">
        <v>17</v>
      </c>
      <c r="I31" t="s">
        <v>18</v>
      </c>
      <c r="O31" t="s">
        <v>17</v>
      </c>
      <c r="P31" t="s">
        <v>18</v>
      </c>
    </row>
    <row r="32" spans="1:16" x14ac:dyDescent="0.35">
      <c r="A32" t="s">
        <v>19</v>
      </c>
      <c r="B32">
        <v>0.11600000000000001</v>
      </c>
      <c r="H32" t="s">
        <v>19</v>
      </c>
      <c r="I32">
        <v>0.1115</v>
      </c>
      <c r="O32" t="s">
        <v>19</v>
      </c>
      <c r="P32">
        <v>0.2</v>
      </c>
    </row>
    <row r="33" spans="1:16" x14ac:dyDescent="0.35">
      <c r="A33" t="s">
        <v>20</v>
      </c>
      <c r="B33">
        <v>0.89449999999999996</v>
      </c>
      <c r="H33" t="s">
        <v>20</v>
      </c>
      <c r="I33">
        <v>0.89729999999999999</v>
      </c>
      <c r="O33" t="s">
        <v>20</v>
      </c>
      <c r="P33">
        <v>0.79049999999999998</v>
      </c>
    </row>
    <row r="34" spans="1:16" x14ac:dyDescent="0.35">
      <c r="A34" t="s">
        <v>21</v>
      </c>
      <c r="B34">
        <v>0.61750000000000005</v>
      </c>
      <c r="H34" t="s">
        <v>21</v>
      </c>
      <c r="I34">
        <v>0.61860000000000004</v>
      </c>
      <c r="O34" t="s">
        <v>21</v>
      </c>
      <c r="P34">
        <v>0.64190000000000003</v>
      </c>
    </row>
    <row r="35" spans="1:16" x14ac:dyDescent="0.35">
      <c r="A35" t="s">
        <v>22</v>
      </c>
      <c r="B35">
        <v>-9.9500000000000005E-2</v>
      </c>
      <c r="H35" t="s">
        <v>22</v>
      </c>
      <c r="I35">
        <v>-0.1021</v>
      </c>
      <c r="O35" t="s">
        <v>22</v>
      </c>
      <c r="P35">
        <v>-0.1045</v>
      </c>
    </row>
    <row r="36" spans="1:16" x14ac:dyDescent="0.35">
      <c r="A36" t="s">
        <v>23</v>
      </c>
      <c r="B36">
        <v>-8.6699999999999999E-2</v>
      </c>
      <c r="H36" t="s">
        <v>23</v>
      </c>
      <c r="I36">
        <v>-8.5000000000000006E-2</v>
      </c>
      <c r="O36" t="s">
        <v>23</v>
      </c>
      <c r="P36">
        <v>-0.1193</v>
      </c>
    </row>
    <row r="37" spans="1:16" x14ac:dyDescent="0.35">
      <c r="A37" t="s">
        <v>24</v>
      </c>
      <c r="B37">
        <v>-0.30309999999999998</v>
      </c>
      <c r="H37" t="s">
        <v>24</v>
      </c>
      <c r="I37">
        <v>-0.30130000000000001</v>
      </c>
      <c r="O37" t="s">
        <v>24</v>
      </c>
      <c r="P37">
        <v>-0.3201</v>
      </c>
    </row>
    <row r="38" spans="1:16" x14ac:dyDescent="0.35">
      <c r="A38" t="s">
        <v>25</v>
      </c>
      <c r="B38">
        <v>-1.0022</v>
      </c>
      <c r="H38" t="s">
        <v>25</v>
      </c>
      <c r="I38">
        <v>-1.0001</v>
      </c>
      <c r="O38" t="s">
        <v>25</v>
      </c>
      <c r="P38">
        <v>-0.995</v>
      </c>
    </row>
    <row r="39" spans="1:16" x14ac:dyDescent="0.35">
      <c r="A39" t="s">
        <v>26</v>
      </c>
      <c r="B39">
        <v>-0.73160000000000003</v>
      </c>
      <c r="H39" t="s">
        <v>26</v>
      </c>
      <c r="I39">
        <v>-0.73150000000000004</v>
      </c>
      <c r="O39" t="s">
        <v>26</v>
      </c>
      <c r="P39">
        <v>-0.65720000000000001</v>
      </c>
    </row>
    <row r="40" spans="1:16" x14ac:dyDescent="0.35">
      <c r="A40" t="s">
        <v>27</v>
      </c>
      <c r="B40">
        <v>-0.57989999999999997</v>
      </c>
      <c r="H40" t="s">
        <v>27</v>
      </c>
      <c r="I40">
        <v>-0.57989999999999997</v>
      </c>
      <c r="O40" t="s">
        <v>27</v>
      </c>
      <c r="P40">
        <v>-0.54349999999999998</v>
      </c>
    </row>
    <row r="41" spans="1:16" x14ac:dyDescent="0.35">
      <c r="A41" t="s">
        <v>28</v>
      </c>
      <c r="B41">
        <v>0.17799999999999999</v>
      </c>
      <c r="H41" t="s">
        <v>28</v>
      </c>
      <c r="I41">
        <v>0.17799999999999999</v>
      </c>
      <c r="O41" t="s">
        <v>28</v>
      </c>
      <c r="P41">
        <v>0.15160000000000001</v>
      </c>
    </row>
    <row r="42" spans="1:16" x14ac:dyDescent="0.35">
      <c r="A42" t="s">
        <v>29</v>
      </c>
      <c r="B42">
        <v>-0.30930000000000002</v>
      </c>
      <c r="H42" t="s">
        <v>29</v>
      </c>
      <c r="I42">
        <v>-0.35360000000000003</v>
      </c>
      <c r="O42" t="s">
        <v>29</v>
      </c>
      <c r="P42">
        <v>-0.29420000000000002</v>
      </c>
    </row>
    <row r="43" spans="1:16" x14ac:dyDescent="0.35">
      <c r="A43" t="s">
        <v>30</v>
      </c>
      <c r="B43">
        <v>6.3299999999999995E-2</v>
      </c>
      <c r="H43" t="s">
        <v>30</v>
      </c>
      <c r="I43">
        <v>0.1128</v>
      </c>
      <c r="O43" t="s">
        <v>30</v>
      </c>
      <c r="P43">
        <v>7.8100000000000003E-2</v>
      </c>
    </row>
    <row r="44" spans="1:16" x14ac:dyDescent="0.35">
      <c r="A44" t="s">
        <v>31</v>
      </c>
      <c r="B44">
        <v>0.26819999999999999</v>
      </c>
      <c r="H44" t="s">
        <v>31</v>
      </c>
      <c r="I44">
        <v>0.21540000000000001</v>
      </c>
      <c r="O44" t="s">
        <v>31</v>
      </c>
      <c r="P44">
        <v>0.2185</v>
      </c>
    </row>
    <row r="45" spans="1:16" x14ac:dyDescent="0.35">
      <c r="A45" t="s">
        <v>32</v>
      </c>
      <c r="B45">
        <v>-0.35339999999999999</v>
      </c>
      <c r="H45" t="s">
        <v>32</v>
      </c>
      <c r="I45">
        <v>-0.31019999999999998</v>
      </c>
      <c r="O45" t="s">
        <v>32</v>
      </c>
      <c r="P45">
        <v>-0.49719999999999998</v>
      </c>
    </row>
    <row r="46" spans="1:16" x14ac:dyDescent="0.35">
      <c r="A46" t="s">
        <v>33</v>
      </c>
      <c r="B46">
        <v>0.1128</v>
      </c>
      <c r="H46" t="s">
        <v>33</v>
      </c>
      <c r="I46">
        <v>6.5500000000000003E-2</v>
      </c>
      <c r="O46" t="s">
        <v>33</v>
      </c>
      <c r="P46">
        <v>0.314</v>
      </c>
    </row>
    <row r="47" spans="1:16" x14ac:dyDescent="0.35">
      <c r="A47" t="s">
        <v>34</v>
      </c>
      <c r="B47">
        <v>0.21540000000000001</v>
      </c>
      <c r="H47" t="s">
        <v>34</v>
      </c>
      <c r="I47">
        <v>0.26479999999999998</v>
      </c>
      <c r="O47" t="s">
        <v>34</v>
      </c>
      <c r="P47">
        <v>0.1366</v>
      </c>
    </row>
  </sheetData>
  <sortState xmlns:xlrd2="http://schemas.microsoft.com/office/spreadsheetml/2017/richdata2" ref="A2:B7">
    <sortCondition ref="B1:B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37F6-C41D-4339-9139-DB51A9CEA22B}">
  <dimension ref="A2:Q50"/>
  <sheetViews>
    <sheetView zoomScaleNormal="100" workbookViewId="0">
      <selection activeCell="Q32" sqref="Q32"/>
    </sheetView>
  </sheetViews>
  <sheetFormatPr defaultRowHeight="14.5" x14ac:dyDescent="0.35"/>
  <cols>
    <col min="1" max="1" width="18.08984375" bestFit="1" customWidth="1"/>
    <col min="2" max="2" width="21.1796875" customWidth="1"/>
    <col min="8" max="8" width="18.08984375" bestFit="1" customWidth="1"/>
    <col min="9" max="9" width="21.1796875" customWidth="1"/>
    <col min="15" max="15" width="18.08984375" bestFit="1" customWidth="1"/>
    <col min="16" max="16" width="20.36328125" customWidth="1"/>
  </cols>
  <sheetData>
    <row r="2" spans="1:17" x14ac:dyDescent="0.35">
      <c r="A2" t="s">
        <v>4</v>
      </c>
      <c r="B2">
        <v>-495.25423054460202</v>
      </c>
      <c r="C2" t="s">
        <v>15</v>
      </c>
      <c r="H2" t="s">
        <v>5</v>
      </c>
      <c r="I2">
        <v>-495.25422514786999</v>
      </c>
      <c r="J2" t="s">
        <v>15</v>
      </c>
      <c r="O2" t="s">
        <v>7</v>
      </c>
      <c r="P2">
        <v>-495.248209039892</v>
      </c>
      <c r="Q2" t="s">
        <v>15</v>
      </c>
    </row>
    <row r="3" spans="1:17" x14ac:dyDescent="0.35">
      <c r="B3">
        <f>B2*2625.49962</f>
        <v>-1300289.794098245</v>
      </c>
      <c r="C3" t="s">
        <v>16</v>
      </c>
      <c r="I3">
        <f>2625.49962*I2</f>
        <v>-1300289.7799291271</v>
      </c>
      <c r="J3" t="s">
        <v>16</v>
      </c>
      <c r="P3">
        <f>2625.49962*P2</f>
        <v>-1300273.984639917</v>
      </c>
      <c r="Q3" t="s">
        <v>16</v>
      </c>
    </row>
    <row r="4" spans="1:17" x14ac:dyDescent="0.35">
      <c r="B4">
        <f>B3-B3</f>
        <v>0</v>
      </c>
      <c r="C4" t="s">
        <v>16</v>
      </c>
      <c r="I4">
        <f>I3-B3</f>
        <v>1.4169117901474237E-2</v>
      </c>
      <c r="J4" t="s">
        <v>16</v>
      </c>
      <c r="P4">
        <f>P3-B3</f>
        <v>15.809458327945322</v>
      </c>
      <c r="Q4" t="s">
        <v>16</v>
      </c>
    </row>
    <row r="34" spans="1:16" x14ac:dyDescent="0.35">
      <c r="A34" t="s">
        <v>17</v>
      </c>
      <c r="B34" t="s">
        <v>18</v>
      </c>
      <c r="H34" t="s">
        <v>17</v>
      </c>
      <c r="I34" t="s">
        <v>18</v>
      </c>
      <c r="O34" t="s">
        <v>17</v>
      </c>
      <c r="P34" t="s">
        <v>18</v>
      </c>
    </row>
    <row r="35" spans="1:16" x14ac:dyDescent="0.35">
      <c r="A35" t="s">
        <v>19</v>
      </c>
      <c r="B35">
        <v>-4.9799999999999997E-2</v>
      </c>
      <c r="H35" t="s">
        <v>19</v>
      </c>
      <c r="I35">
        <v>-4.9099999999999998E-2</v>
      </c>
      <c r="O35" t="s">
        <v>19</v>
      </c>
      <c r="P35">
        <v>-6.1899999999999997E-2</v>
      </c>
    </row>
    <row r="36" spans="1:16" x14ac:dyDescent="0.35">
      <c r="A36" t="s">
        <v>20</v>
      </c>
      <c r="B36">
        <v>1.0194000000000001</v>
      </c>
      <c r="H36" t="s">
        <v>20</v>
      </c>
      <c r="I36">
        <v>1.02</v>
      </c>
      <c r="O36" t="s">
        <v>20</v>
      </c>
      <c r="P36">
        <v>0.97989999999999999</v>
      </c>
    </row>
    <row r="37" spans="1:16" x14ac:dyDescent="0.35">
      <c r="A37" t="s">
        <v>21</v>
      </c>
      <c r="B37">
        <v>0.63339999999999996</v>
      </c>
      <c r="H37" t="s">
        <v>21</v>
      </c>
      <c r="I37">
        <v>0.6331</v>
      </c>
      <c r="O37" t="s">
        <v>21</v>
      </c>
      <c r="P37">
        <v>0.69259999999999999</v>
      </c>
    </row>
    <row r="38" spans="1:16" x14ac:dyDescent="0.35">
      <c r="A38" t="s">
        <v>22</v>
      </c>
      <c r="B38">
        <v>-0.1125</v>
      </c>
      <c r="H38" t="s">
        <v>22</v>
      </c>
      <c r="I38">
        <v>-0.11260000000000001</v>
      </c>
      <c r="O38" t="s">
        <v>22</v>
      </c>
      <c r="P38">
        <v>-0.1103</v>
      </c>
    </row>
    <row r="39" spans="1:16" x14ac:dyDescent="0.35">
      <c r="A39" t="s">
        <v>23</v>
      </c>
      <c r="B39">
        <v>-0.11749999999999999</v>
      </c>
      <c r="H39" t="s">
        <v>23</v>
      </c>
      <c r="I39">
        <v>-0.1176</v>
      </c>
      <c r="O39" t="s">
        <v>23</v>
      </c>
      <c r="P39">
        <v>-0.1221</v>
      </c>
    </row>
    <row r="40" spans="1:16" x14ac:dyDescent="0.35">
      <c r="A40" t="s">
        <v>24</v>
      </c>
      <c r="B40">
        <v>-0.33700000000000002</v>
      </c>
      <c r="H40" t="s">
        <v>24</v>
      </c>
      <c r="I40">
        <v>-0.3372</v>
      </c>
      <c r="O40" t="s">
        <v>24</v>
      </c>
      <c r="P40">
        <v>-0.36630000000000001</v>
      </c>
    </row>
    <row r="41" spans="1:16" x14ac:dyDescent="0.35">
      <c r="A41" t="s">
        <v>25</v>
      </c>
      <c r="B41">
        <v>-0.82340000000000002</v>
      </c>
      <c r="H41" t="s">
        <v>25</v>
      </c>
      <c r="I41">
        <v>-0.82379999999999998</v>
      </c>
      <c r="O41" t="s">
        <v>25</v>
      </c>
      <c r="P41">
        <v>-0.75539999999999996</v>
      </c>
    </row>
    <row r="42" spans="1:16" x14ac:dyDescent="0.35">
      <c r="A42" t="s">
        <v>26</v>
      </c>
      <c r="B42">
        <v>-0.79190000000000005</v>
      </c>
      <c r="H42" t="s">
        <v>26</v>
      </c>
      <c r="I42">
        <v>-0.79169999999999996</v>
      </c>
      <c r="O42" t="s">
        <v>26</v>
      </c>
      <c r="P42">
        <v>-0.84219999999999995</v>
      </c>
    </row>
    <row r="43" spans="1:16" x14ac:dyDescent="0.35">
      <c r="A43" t="s">
        <v>27</v>
      </c>
      <c r="B43">
        <v>-0.55459999999999998</v>
      </c>
      <c r="H43" t="s">
        <v>27</v>
      </c>
      <c r="I43">
        <v>-0.55520000000000003</v>
      </c>
      <c r="O43" t="s">
        <v>27</v>
      </c>
      <c r="P43">
        <v>-0.52849999999999997</v>
      </c>
    </row>
    <row r="44" spans="1:16" x14ac:dyDescent="0.35">
      <c r="A44" t="s">
        <v>28</v>
      </c>
      <c r="B44">
        <v>0.12920000000000001</v>
      </c>
      <c r="H44" t="s">
        <v>28</v>
      </c>
      <c r="I44">
        <v>0.12920000000000001</v>
      </c>
      <c r="O44" t="s">
        <v>28</v>
      </c>
      <c r="P44">
        <v>0.115</v>
      </c>
    </row>
    <row r="45" spans="1:16" x14ac:dyDescent="0.35">
      <c r="A45" t="s">
        <v>29</v>
      </c>
      <c r="B45">
        <v>-0.34160000000000001</v>
      </c>
      <c r="H45" t="s">
        <v>29</v>
      </c>
      <c r="I45">
        <v>-0.34200000000000003</v>
      </c>
      <c r="O45" t="s">
        <v>29</v>
      </c>
      <c r="P45">
        <v>-0.35830000000000001</v>
      </c>
    </row>
    <row r="46" spans="1:16" x14ac:dyDescent="0.35">
      <c r="A46" t="s">
        <v>30</v>
      </c>
      <c r="B46">
        <v>0.2228</v>
      </c>
      <c r="H46" t="s">
        <v>30</v>
      </c>
      <c r="I46">
        <v>0.22459999999999999</v>
      </c>
      <c r="O46" t="s">
        <v>30</v>
      </c>
      <c r="P46">
        <v>0.122</v>
      </c>
    </row>
    <row r="47" spans="1:16" x14ac:dyDescent="0.35">
      <c r="A47" t="s">
        <v>31</v>
      </c>
      <c r="B47">
        <v>0.1153</v>
      </c>
      <c r="H47" t="s">
        <v>31</v>
      </c>
      <c r="I47">
        <v>0.1143</v>
      </c>
      <c r="O47" t="s">
        <v>31</v>
      </c>
      <c r="P47">
        <v>0.24479999999999999</v>
      </c>
    </row>
    <row r="48" spans="1:16" x14ac:dyDescent="0.35">
      <c r="A48" t="s">
        <v>32</v>
      </c>
      <c r="B48">
        <v>-0.3518</v>
      </c>
      <c r="H48" t="s">
        <v>32</v>
      </c>
      <c r="I48">
        <v>-0.35349999999999998</v>
      </c>
      <c r="O48" t="s">
        <v>32</v>
      </c>
      <c r="P48">
        <v>-0.3553</v>
      </c>
    </row>
    <row r="49" spans="1:16" x14ac:dyDescent="0.35">
      <c r="A49" t="s">
        <v>33</v>
      </c>
      <c r="B49">
        <v>0.26750000000000002</v>
      </c>
      <c r="H49" t="s">
        <v>33</v>
      </c>
      <c r="I49">
        <v>0.26840000000000003</v>
      </c>
      <c r="O49" t="s">
        <v>33</v>
      </c>
      <c r="P49">
        <v>0.13389999999999999</v>
      </c>
    </row>
    <row r="50" spans="1:16" x14ac:dyDescent="0.35">
      <c r="A50" t="s">
        <v>34</v>
      </c>
      <c r="B50">
        <v>9.2600000000000002E-2</v>
      </c>
      <c r="H50" t="s">
        <v>34</v>
      </c>
      <c r="I50">
        <v>9.2999999999999999E-2</v>
      </c>
      <c r="O50" t="s">
        <v>34</v>
      </c>
      <c r="P50">
        <v>0.21210000000000001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</vt:lpstr>
      <vt:lpstr>1 Water</vt:lpstr>
      <vt:lpstr>1 Water non</vt:lpstr>
      <vt:lpstr>2 Water</vt:lpstr>
      <vt:lpstr>2 Water 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Hardman</cp:lastModifiedBy>
  <dcterms:created xsi:type="dcterms:W3CDTF">2025-12-11T17:13:33Z</dcterms:created>
  <dcterms:modified xsi:type="dcterms:W3CDTF">2026-02-06T12:43:37Z</dcterms:modified>
</cp:coreProperties>
</file>